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Monthly Projec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<sst xmlns="http://schemas.openxmlformats.org/spreadsheetml/2006/main" count="58" uniqueCount="58">
  <si>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EduSnap Revenue Summary (Freemium: R49/month)</t>
  </si>
  <si>
    <t xml:space="preserve">Total revenue, year 1 (R)</t>
  </si>
  <si>
    <t xml:space="preserve">Total server costs (R)</t>
  </si>
  <si>
    <t xml:space="preserve">Total hosting (R)</t>
  </si>
  <si>
    <t xml:space="preserve">Net profit, year 1 (R)</t>
  </si>
  <si>
    <t xml:space="preserve">Profit margin</t>
  </si>
  <si>
    <t xml:space="preserve">Mean monthly revenue (R)</t>
  </si>
  <si>
    <t xml:space="preserve">Median monthly revenue (R)</t>
  </si>
  <si>
    <t xml:space="preserve">Lowest month revenue (R)</t>
  </si>
  <si>
    <t xml:space="preserve">Highest month revenue (R)</t>
  </si>
  <si>
    <t xml:space="preserve">Range of monthly revenue (R)</t>
  </si>
  <si>
    <t xml:space="preserve">December monthly revenue (R)</t>
  </si>
  <si>
    <t xml:space="preserve">Subscriber growth Jan to Dec</t>
  </si>
  <si>
    <t xml:space="preserve">EduSnap Revenue Model: Assumptions (Freemium subscription)</t>
  </si>
  <si>
    <t xml:space="preserve">Blue = input you can change. Yellow = my assumption, not in your source text. Everything else recalculates.</t>
  </si>
  <si>
    <t xml:space="preserve">Input</t>
  </si>
  <si>
    <t xml:space="preserve">Value</t>
  </si>
  <si>
    <t xml:space="preserve">Source / note</t>
  </si>
  <si>
    <t xml:space="preserve">Snap &amp; Learn fee (R per month)</t>
  </si>
  <si>
    <t xml:space="preserve">Your new info: subscriptionFee = R49 (parameter)</t>
  </si>
  <si>
    <t xml:space="preserve">Family Plan fee (R per month)</t>
  </si>
  <si>
    <t xml:space="preserve">Your new info: Family Plan R89/month</t>
  </si>
  <si>
    <t xml:space="preserve">Share of subscribers on Family Plan</t>
  </si>
  <si>
    <t xml:space="preserve">ASSUMPTION: 0% matches your source maths (all users x R49). Change to model Family sales</t>
  </si>
  <si>
    <t xml:space="preserve">Server cost per user (R per month)</t>
  </si>
  <si>
    <t xml:space="preserve">Your new info: serverCostPerUser = R5 (parameter)</t>
  </si>
  <si>
    <t xml:space="preserve">Hosting cost (R per month)</t>
  </si>
  <si>
    <t xml:space="preserve">Your new info: Google Sites + AI API free tier, R150/month</t>
  </si>
  <si>
    <t xml:space="preserve">Average revenue per subscriber (R)</t>
  </si>
  <si>
    <t xml:space="preserve">Blended fee given the Family Plan share above</t>
  </si>
  <si>
    <t xml:space="preserve">Other notes from your source</t>
  </si>
  <si>
    <t xml:space="preserve">Free plan: R0, 5 questions per day (no revenue; not modelled)</t>
  </si>
  <si>
    <t xml:space="preserve">Development cost: R0 (student project)</t>
  </si>
  <si>
    <t xml:space="preserve">Marketing via schools (no cost given)</t>
  </si>
  <si>
    <t xml:space="preserve">Subscribers: Jan 100, Feb 250, Mar 500 and Dec 2,000 are from your source; Apr-Nov are interpolated (see Monthly Projection)</t>
  </si>
  <si>
    <t xml:space="preserve">EduSnap 12-Month Revenue Projection (Rand)</t>
  </si>
  <si>
    <t xml:space="preserve">Month</t>
  </si>
  <si>
    <t xml:space="preserve">Paying subscribers</t>
  </si>
  <si>
    <t xml:space="preserve">Revenue (R)</t>
  </si>
  <si>
    <t xml:space="preserve">Server costs (R)</t>
  </si>
  <si>
    <t xml:space="preserve">Profit before hosting (R)</t>
  </si>
  <si>
    <t xml:space="preserve">Hosting (R)</t>
  </si>
  <si>
    <t xml:space="preserve">Net profit (R)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</si>
  <si>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</si>
  <si>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</si>
  <si>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</si>
  <si>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</si>
  <si>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</si>
  <si>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</si>
  <si>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</si>
  <si>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</si>
  <si>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</si>
  <si>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</si>
  <si>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</si>
  <si>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</si>
  <si>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 total</t>
  </si>
  <si>
    <t xml:space="preserve">Yellow subscriber cells (Apr-Nov) are my interpolation: steady growth from 500 in Mar to 2,000 in Dec. Replace with your own figures if you have them.</t>
  </si>
  <si>
    <t xml:space="preserve">Profit before hosting reproduces your source figures (Mar: R24,500 revenue, R22,000 profit). Net profit also subtracts the R150 hosting.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</si>
</sst>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R#,##0;&quot;(R&quot;#,##0\);\-"/>
    <numFmt numFmtId="166" formatCode="0.0%"/>
    <numFmt numFmtId="167" formatCode="0.0\x"/>
    <numFmt numFmtId="168" formatCode="\R#,##0.00"/>
    <numFmt numFmtId="169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Projected subscribers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Projection'!B3</c:f>
              <c:strCache>
                <c:ptCount val="1"/>
                <c:pt idx="0">
                  <c:v>Paying subscribers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Projection'!$A$4:$A$15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Projection'!$B$4:$B$15</c:f>
              <c:numCache>
                <c:formatCode>#,##0</c:formatCode>
                <c:ptCount val="12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583</c:v>
                </c:pt>
                <c:pt idx="4">
                  <c:v>680</c:v>
                </c:pt>
                <c:pt idx="5">
                  <c:v>794</c:v>
                </c:pt>
                <c:pt idx="6">
                  <c:v>926</c:v>
                </c:pt>
                <c:pt idx="7">
                  <c:v>1080</c:v>
                </c:pt>
                <c:pt idx="8">
                  <c:v>1260</c:v>
                </c:pt>
                <c:pt idx="9">
                  <c:v>1470</c:v>
                </c:pt>
                <c:pt idx="10">
                  <c:v>1714</c:v>
                </c:pt>
                <c:pt idx="11">
                  <c:v>2000</c:v>
                </c:pt>
              </c:numCache>
            </c:numRef>
          </c:val>
        </c:ser>
        <c:gapWidth val="150"/>
        <c:overlap val="0"/>
        <c:axId val="11476094"/>
        <c:axId val="95024605"/>
      </c:barChart>
      <c:catAx>
        <c:axId val="114760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24605"/>
        <c:crosses val="autoZero"/>
        <c:auto val="1"/>
        <c:lblAlgn val="ctr"/>
        <c:lblOffset val="100"/>
        <c:noMultiLvlLbl val="0"/>
      </c:catAx>
      <c:valAx>
        <c:axId val="950246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Paying subscribers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760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 net profit (R)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Projection'!C3</c:f>
              <c:strCache>
                <c:ptCount val="1"/>
                <c:pt idx="0">
                  <c:v>Revenue (R)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Projection'!$A$4:$A$15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Projection'!$C$4:$C$15</c:f>
              <c:numCache>
                <c:formatCode>\R#,##0;"(R"#,##0\);\-</c:formatCode>
                <c:ptCount val="12"/>
                <c:pt idx="0">
                  <c:v>4900</c:v>
                </c:pt>
                <c:pt idx="1">
                  <c:v>12250</c:v>
                </c:pt>
                <c:pt idx="2">
                  <c:v>24500</c:v>
                </c:pt>
                <c:pt idx="3">
                  <c:v>28567</c:v>
                </c:pt>
                <c:pt idx="4">
                  <c:v>33320</c:v>
                </c:pt>
                <c:pt idx="5">
                  <c:v>38906</c:v>
                </c:pt>
                <c:pt idx="6">
                  <c:v>45374</c:v>
                </c:pt>
                <c:pt idx="7">
                  <c:v>52920</c:v>
                </c:pt>
                <c:pt idx="8">
                  <c:v>61740</c:v>
                </c:pt>
                <c:pt idx="9">
                  <c:v>72030</c:v>
                </c:pt>
                <c:pt idx="10">
                  <c:v>83986</c:v>
                </c:pt>
                <c:pt idx="11">
                  <c:v>98000</c:v>
                </c:pt>
              </c:numCache>
            </c:numRef>
          </c:val>
        </c:ser>
        <c:ser>
          <c:idx val="1"/>
          <c:order val="1"/>
          <c:tx>
            <c:strRef>
              <c:f>'Monthly Projection'!G3</c:f>
              <c:strCache>
                <c:ptCount val="1"/>
                <c:pt idx="0">
                  <c:v>Net profit (R)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Projection'!$A$4:$A$15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Projection'!$G$4:$G$15</c:f>
              <c:numCache>
                <c:formatCode>\R#,##0;"(R"#,##0\);\-</c:formatCode>
                <c:ptCount val="12"/>
                <c:pt idx="0">
                  <c:v>4250</c:v>
                </c:pt>
                <c:pt idx="1">
                  <c:v>10850</c:v>
                </c:pt>
                <c:pt idx="2">
                  <c:v>21850</c:v>
                </c:pt>
                <c:pt idx="3">
                  <c:v>25502</c:v>
                </c:pt>
                <c:pt idx="4">
                  <c:v>29770</c:v>
                </c:pt>
                <c:pt idx="5">
                  <c:v>34786</c:v>
                </c:pt>
                <c:pt idx="6">
                  <c:v>40594</c:v>
                </c:pt>
                <c:pt idx="7">
                  <c:v>47370</c:v>
                </c:pt>
                <c:pt idx="8">
                  <c:v>55290</c:v>
                </c:pt>
                <c:pt idx="9">
                  <c:v>64530</c:v>
                </c:pt>
                <c:pt idx="10">
                  <c:v>75266</c:v>
                </c:pt>
                <c:pt idx="11">
                  <c:v>87850</c:v>
                </c:pt>
              </c:numCache>
            </c:numRef>
          </c:val>
        </c:ser>
        <c:gapWidth val="150"/>
        <c:overlap val="0"/>
        <c:axId val="14115894"/>
        <c:axId val="9394045"/>
      </c:barChart>
      <c:catAx>
        <c:axId val="141158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4045"/>
        <c:crosses val="autoZero"/>
        <c:auto val="1"/>
        <c:lblAlgn val="ctr"/>
        <c:lblOffset val="100"/>
        <c:noMultiLvlLbl val="0"/>
      </c:catAx>
      <c:valAx>
        <c:axId val="9394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R#,##0;&quot;(R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158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13</xdr:col>
      <xdr:colOff>364320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4417560" y="380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18</xdr:row>
      <xdr:rowOff>160560</xdr:rowOff>
    </xdr:from>
    <xdr:to>
      <xdr:col>13</xdr:col>
      <xdr:colOff>364320</xdr:colOff>
      <xdr:row>33</xdr:row>
      <xdr:rowOff>182880</xdr:rowOff>
    </xdr:to>
    <xdr:graphicFrame>
      <xdr:nvGraphicFramePr>
        <xdr:cNvPr id="1" name="Chart 2"/>
        <xdr:cNvGraphicFramePr/>
      </xdr:nvGraphicFramePr>
      <xdr:xfrm>
        <a:off x="4417560" y="3619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false">'Monthly Projection'!C16</f>
        <v>556493</v>
      </c>
    </row>
    <row r="4" customFormat="false" ht="15" hidden="false" customHeight="false" outlineLevel="0" collapsed="false">
      <c r="A4" s="2" t="s">
        <v>2</v>
      </c>
      <c r="B4" s="3" t="n">
        <f aca="false">'Monthly Projection'!D16</f>
        <v>56785</v>
      </c>
    </row>
    <row r="5" customFormat="false" ht="15" hidden="false" customHeight="false" outlineLevel="0" collapsed="false">
      <c r="A5" s="2" t="s">
        <v>3</v>
      </c>
      <c r="B5" s="3" t="n">
        <f aca="false">'Monthly Projection'!F16</f>
        <v>1800</v>
      </c>
    </row>
    <row r="6" customFormat="false" ht="15" hidden="false" customHeight="false" outlineLevel="0" collapsed="false">
      <c r="A6" s="2" t="s">
        <v>4</v>
      </c>
      <c r="B6" s="3" t="n">
        <f aca="false">'Monthly Projection'!G16</f>
        <v>497908</v>
      </c>
    </row>
    <row r="7" customFormat="false" ht="15" hidden="false" customHeight="false" outlineLevel="0" collapsed="false">
      <c r="A7" s="2" t="s">
        <v>5</v>
      </c>
      <c r="B7" s="4" t="n">
        <f aca="false">IF(B3=0,0,B6/B3)</f>
        <v>0.894724641639697</v>
      </c>
    </row>
    <row r="8" customFormat="false" ht="15" hidden="false" customHeight="false" outlineLevel="0" collapsed="false">
      <c r="A8" s="2" t="s">
        <v>6</v>
      </c>
      <c r="B8" s="3" t="n">
        <f aca="false">AVERAGE('Monthly Projection'!C4:C15)</f>
        <v>46374.4166666667</v>
      </c>
    </row>
    <row r="9" customFormat="false" ht="15" hidden="false" customHeight="false" outlineLevel="0" collapsed="false">
      <c r="A9" s="2" t="s">
        <v>7</v>
      </c>
      <c r="B9" s="3" t="n">
        <f aca="false">MEDIAN('Monthly Projection'!C4:C15)</f>
        <v>42140</v>
      </c>
    </row>
    <row r="10" customFormat="false" ht="15" hidden="false" customHeight="false" outlineLevel="0" collapsed="false">
      <c r="A10" s="2" t="s">
        <v>8</v>
      </c>
      <c r="B10" s="3" t="n">
        <f aca="false">MIN('Monthly Projection'!C4:C15)</f>
        <v>4900</v>
      </c>
    </row>
    <row r="11" customFormat="false" ht="15" hidden="false" customHeight="false" outlineLevel="0" collapsed="false">
      <c r="A11" s="2" t="s">
        <v>9</v>
      </c>
      <c r="B11" s="3" t="n">
        <f aca="false">MAX('Monthly Projection'!C4:C15)</f>
        <v>98000</v>
      </c>
    </row>
    <row r="12" customFormat="false" ht="15" hidden="false" customHeight="false" outlineLevel="0" collapsed="false">
      <c r="A12" s="2" t="s">
        <v>10</v>
      </c>
      <c r="B12" s="3" t="n">
        <f aca="false">B11-B10</f>
        <v>93100</v>
      </c>
    </row>
    <row r="13" customFormat="false" ht="15" hidden="false" customHeight="false" outlineLevel="0" collapsed="false">
      <c r="A13" s="2" t="s">
        <v>11</v>
      </c>
      <c r="B13" s="3" t="n">
        <f aca="false">'Monthly Projection'!C15</f>
        <v>98000</v>
      </c>
    </row>
    <row r="14" customFormat="false" ht="15" hidden="false" customHeight="false" outlineLevel="0" collapsed="false">
      <c r="A14" s="2" t="s">
        <v>12</v>
      </c>
      <c r="B14" s="5" t="n">
        <f aca="false">'Monthly Projection'!B15/'Monthly Projection'!B4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85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6" t="s">
        <v>14</v>
      </c>
    </row>
    <row r="4" customFormat="false" ht="15" hidden="false" customHeight="false" outlineLevel="0" collapsed="false">
      <c r="A4" s="7" t="s">
        <v>15</v>
      </c>
      <c r="B4" s="7" t="s">
        <v>16</v>
      </c>
      <c r="C4" s="7" t="s">
        <v>17</v>
      </c>
    </row>
    <row r="5" customFormat="false" ht="15" hidden="false" customHeight="false" outlineLevel="0" collapsed="false">
      <c r="A5" s="2" t="s">
        <v>18</v>
      </c>
      <c r="B5" s="8" t="n">
        <v>49</v>
      </c>
      <c r="C5" s="2" t="s">
        <v>19</v>
      </c>
    </row>
    <row r="6" customFormat="false" ht="15" hidden="false" customHeight="false" outlineLevel="0" collapsed="false">
      <c r="A6" s="2" t="s">
        <v>20</v>
      </c>
      <c r="B6" s="8" t="n">
        <v>89</v>
      </c>
      <c r="C6" s="2" t="s">
        <v>21</v>
      </c>
    </row>
    <row r="7" customFormat="false" ht="15" hidden="false" customHeight="false" outlineLevel="0" collapsed="false">
      <c r="A7" s="2" t="s">
        <v>22</v>
      </c>
      <c r="B7" s="9" t="n">
        <v>0</v>
      </c>
      <c r="C7" s="2" t="s">
        <v>23</v>
      </c>
    </row>
    <row r="8" customFormat="false" ht="15" hidden="false" customHeight="false" outlineLevel="0" collapsed="false">
      <c r="A8" s="2" t="s">
        <v>24</v>
      </c>
      <c r="B8" s="8" t="n">
        <v>5</v>
      </c>
      <c r="C8" s="2" t="s">
        <v>25</v>
      </c>
    </row>
    <row r="9" customFormat="false" ht="15" hidden="false" customHeight="false" outlineLevel="0" collapsed="false">
      <c r="A9" s="2" t="s">
        <v>26</v>
      </c>
      <c r="B9" s="8" t="n">
        <v>150</v>
      </c>
      <c r="C9" s="2" t="s">
        <v>27</v>
      </c>
    </row>
    <row r="11" customFormat="false" ht="15" hidden="false" customHeight="false" outlineLevel="0" collapsed="false">
      <c r="A11" s="10" t="s">
        <v>28</v>
      </c>
      <c r="B11" s="11" t="n">
        <f aca="false">B5*(1-B7)+B6*B7</f>
        <v>49</v>
      </c>
      <c r="C11" s="2" t="s">
        <v>29</v>
      </c>
    </row>
    <row r="13" customFormat="false" ht="15" hidden="false" customHeight="false" outlineLevel="0" collapsed="false">
      <c r="A13" s="10" t="s">
        <v>30</v>
      </c>
    </row>
    <row r="14" customFormat="false" ht="15" hidden="false" customHeight="false" outlineLevel="0" collapsed="false">
      <c r="A14" s="2" t="s">
        <v>31</v>
      </c>
    </row>
    <row r="15" customFormat="false" ht="15" hidden="false" customHeight="false" outlineLevel="0" collapsed="false">
      <c r="A15" s="2" t="s">
        <v>32</v>
      </c>
    </row>
    <row r="16" customFormat="false" ht="15" hidden="false" customHeight="false" outlineLevel="0" collapsed="false">
      <c r="A16" s="2" t="s">
        <v>33</v>
      </c>
    </row>
    <row r="17" customFormat="false" ht="15" hidden="false" customHeight="false" outlineLevel="0" collapsed="false">
      <c r="A17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8"/>
  </cols>
  <sheetData>
    <row r="1" customFormat="false" ht="17.35" hidden="false" customHeight="false" outlineLevel="0" collapsed="false">
      <c r="A1" s="1" t="s">
        <v>35</v>
      </c>
    </row>
    <row r="3" customFormat="false" ht="34.5" hidden="false" customHeight="true" outlineLevel="0" collapsed="false">
      <c r="A3" s="12" t="s">
        <v>36</v>
      </c>
      <c r="B3" s="12" t="s">
        <v>37</v>
      </c>
      <c r="C3" s="12" t="s">
        <v>38</v>
      </c>
      <c r="D3" s="12" t="s">
        <v>39</v>
      </c>
      <c r="E3" s="12" t="s">
        <v>40</v>
      </c>
      <c r="F3" s="12" t="s">
        <v>41</v>
      </c>
      <c r="G3" s="12" t="s">
        <v>42</v>
      </c>
    </row>
    <row r="4" customFormat="false" ht="15" hidden="false" customHeight="false" outlineLevel="0" collapsed="false">
      <c r="A4" s="13" t="s">
        <v>43</v>
      </c>
      <c r="B4" s="14" t="n">
        <v>100</v>
      </c>
      <c r="C4" s="15" t="n">
        <f aca="false">B4*Assumptions!$B$11</f>
        <v>4900</v>
      </c>
      <c r="D4" s="15" t="n">
        <f aca="false">B4*Assumptions!$B$8</f>
        <v>500</v>
      </c>
      <c r="E4" s="15" t="n">
        <f aca="false">C4-D4</f>
        <v>4400</v>
      </c>
      <c r="F4" s="15" t="n">
        <f aca="false">Assumptions!$B$9</f>
        <v>150</v>
      </c>
      <c r="G4" s="15" t="n">
        <f aca="false">E4-F4</f>
        <v>4250</v>
      </c>
    </row>
    <row r="5" customFormat="false" ht="15" hidden="false" customHeight="false" outlineLevel="0" collapsed="false">
      <c r="A5" s="13" t="s">
        <v>44</v>
      </c>
      <c r="B5" s="14" t="n">
        <v>250</v>
      </c>
      <c r="C5" s="15" t="n">
        <f aca="false">B5*Assumptions!$B$11</f>
        <v>12250</v>
      </c>
      <c r="D5" s="15" t="n">
        <f aca="false">B5*Assumptions!$B$8</f>
        <v>1250</v>
      </c>
      <c r="E5" s="15" t="n">
        <f aca="false">C5-D5</f>
        <v>11000</v>
      </c>
      <c r="F5" s="15" t="n">
        <f aca="false">Assumptions!$B$9</f>
        <v>150</v>
      </c>
      <c r="G5" s="15" t="n">
        <f aca="false">E5-F5</f>
        <v>10850</v>
      </c>
    </row>
    <row r="6" customFormat="false" ht="15" hidden="false" customHeight="false" outlineLevel="0" collapsed="false">
      <c r="A6" s="13" t="s">
        <v>45</v>
      </c>
      <c r="B6" s="14" t="n">
        <v>500</v>
      </c>
      <c r="C6" s="15" t="n">
        <f aca="false">B6*Assumptions!$B$11</f>
        <v>24500</v>
      </c>
      <c r="D6" s="15" t="n">
        <f aca="false">B6*Assumptions!$B$8</f>
        <v>2500</v>
      </c>
      <c r="E6" s="15" t="n">
        <f aca="false">C6-D6</f>
        <v>22000</v>
      </c>
      <c r="F6" s="15" t="n">
        <f aca="false">Assumptions!$B$9</f>
        <v>150</v>
      </c>
      <c r="G6" s="15" t="n">
        <f aca="false">E6-F6</f>
        <v>21850</v>
      </c>
    </row>
    <row r="7" customFormat="false" ht="15" hidden="false" customHeight="false" outlineLevel="0" collapsed="false">
      <c r="A7" s="13" t="s">
        <v>46</v>
      </c>
      <c r="B7" s="16" t="n">
        <f aca="false">ROUND($B$6*($B$15/$B$6)^((4-3)/9),0)</f>
        <v>583</v>
      </c>
      <c r="C7" s="15" t="n">
        <f aca="false">B7*Assumptions!$B$11</f>
        <v>28567</v>
      </c>
      <c r="D7" s="15" t="n">
        <f aca="false">B7*Assumptions!$B$8</f>
        <v>2915</v>
      </c>
      <c r="E7" s="15" t="n">
        <f aca="false">C7-D7</f>
        <v>25652</v>
      </c>
      <c r="F7" s="15" t="n">
        <f aca="false">Assumptions!$B$9</f>
        <v>150</v>
      </c>
      <c r="G7" s="15" t="n">
        <f aca="false">E7-F7</f>
        <v>25502</v>
      </c>
    </row>
    <row r="8" customFormat="false" ht="15" hidden="false" customHeight="false" outlineLevel="0" collapsed="false">
      <c r="A8" s="13" t="s">
        <v>47</v>
      </c>
      <c r="B8" s="16" t="n">
        <f aca="false">ROUND($B$6*($B$15/$B$6)^((5-3)/9),0)</f>
        <v>680</v>
      </c>
      <c r="C8" s="15" t="n">
        <f aca="false">B8*Assumptions!$B$11</f>
        <v>33320</v>
      </c>
      <c r="D8" s="15" t="n">
        <f aca="false">B8*Assumptions!$B$8</f>
        <v>3400</v>
      </c>
      <c r="E8" s="15" t="n">
        <f aca="false">C8-D8</f>
        <v>29920</v>
      </c>
      <c r="F8" s="15" t="n">
        <f aca="false">Assumptions!$B$9</f>
        <v>150</v>
      </c>
      <c r="G8" s="15" t="n">
        <f aca="false">E8-F8</f>
        <v>29770</v>
      </c>
    </row>
    <row r="9" customFormat="false" ht="15" hidden="false" customHeight="false" outlineLevel="0" collapsed="false">
      <c r="A9" s="13" t="s">
        <v>48</v>
      </c>
      <c r="B9" s="16" t="n">
        <f aca="false">ROUND($B$6*($B$15/$B$6)^((6-3)/9),0)</f>
        <v>794</v>
      </c>
      <c r="C9" s="15" t="n">
        <f aca="false">B9*Assumptions!$B$11</f>
        <v>38906</v>
      </c>
      <c r="D9" s="15" t="n">
        <f aca="false">B9*Assumptions!$B$8</f>
        <v>3970</v>
      </c>
      <c r="E9" s="15" t="n">
        <f aca="false">C9-D9</f>
        <v>34936</v>
      </c>
      <c r="F9" s="15" t="n">
        <f aca="false">Assumptions!$B$9</f>
        <v>150</v>
      </c>
      <c r="G9" s="15" t="n">
        <f aca="false">E9-F9</f>
        <v>34786</v>
      </c>
    </row>
    <row r="10" customFormat="false" ht="15" hidden="false" customHeight="false" outlineLevel="0" collapsed="false">
      <c r="A10" s="13" t="s">
        <v>49</v>
      </c>
      <c r="B10" s="16" t="n">
        <f aca="false">ROUND($B$6*($B$15/$B$6)^((7-3)/9),0)</f>
        <v>926</v>
      </c>
      <c r="C10" s="15" t="n">
        <f aca="false">B10*Assumptions!$B$11</f>
        <v>45374</v>
      </c>
      <c r="D10" s="15" t="n">
        <f aca="false">B10*Assumptions!$B$8</f>
        <v>4630</v>
      </c>
      <c r="E10" s="15" t="n">
        <f aca="false">C10-D10</f>
        <v>40744</v>
      </c>
      <c r="F10" s="15" t="n">
        <f aca="false">Assumptions!$B$9</f>
        <v>150</v>
      </c>
      <c r="G10" s="15" t="n">
        <f aca="false">E10-F10</f>
        <v>40594</v>
      </c>
    </row>
    <row r="11" customFormat="false" ht="15" hidden="false" customHeight="false" outlineLevel="0" collapsed="false">
      <c r="A11" s="13" t="s">
        <v>50</v>
      </c>
      <c r="B11" s="16" t="n">
        <f aca="false">ROUND($B$6*($B$15/$B$6)^((8-3)/9),0)</f>
        <v>1080</v>
      </c>
      <c r="C11" s="15" t="n">
        <f aca="false">B11*Assumptions!$B$11</f>
        <v>52920</v>
      </c>
      <c r="D11" s="15" t="n">
        <f aca="false">B11*Assumptions!$B$8</f>
        <v>5400</v>
      </c>
      <c r="E11" s="15" t="n">
        <f aca="false">C11-D11</f>
        <v>47520</v>
      </c>
      <c r="F11" s="15" t="n">
        <f aca="false">Assumptions!$B$9</f>
        <v>150</v>
      </c>
      <c r="G11" s="15" t="n">
        <f aca="false">E11-F11</f>
        <v>47370</v>
      </c>
    </row>
    <row r="12" customFormat="false" ht="15" hidden="false" customHeight="false" outlineLevel="0" collapsed="false">
      <c r="A12" s="13" t="s">
        <v>51</v>
      </c>
      <c r="B12" s="16" t="n">
        <f aca="false">ROUND($B$6*($B$15/$B$6)^((9-3)/9),0)</f>
        <v>1260</v>
      </c>
      <c r="C12" s="15" t="n">
        <f aca="false">B12*Assumptions!$B$11</f>
        <v>61740</v>
      </c>
      <c r="D12" s="15" t="n">
        <f aca="false">B12*Assumptions!$B$8</f>
        <v>6300</v>
      </c>
      <c r="E12" s="15" t="n">
        <f aca="false">C12-D12</f>
        <v>55440</v>
      </c>
      <c r="F12" s="15" t="n">
        <f aca="false">Assumptions!$B$9</f>
        <v>150</v>
      </c>
      <c r="G12" s="15" t="n">
        <f aca="false">E12-F12</f>
        <v>55290</v>
      </c>
    </row>
    <row r="13" customFormat="false" ht="15" hidden="false" customHeight="false" outlineLevel="0" collapsed="false">
      <c r="A13" s="13" t="s">
        <v>52</v>
      </c>
      <c r="B13" s="16" t="n">
        <f aca="false">ROUND($B$6*($B$15/$B$6)^((10-3)/9),0)</f>
        <v>1470</v>
      </c>
      <c r="C13" s="15" t="n">
        <f aca="false">B13*Assumptions!$B$11</f>
        <v>72030</v>
      </c>
      <c r="D13" s="15" t="n">
        <f aca="false">B13*Assumptions!$B$8</f>
        <v>7350</v>
      </c>
      <c r="E13" s="15" t="n">
        <f aca="false">C13-D13</f>
        <v>64680</v>
      </c>
      <c r="F13" s="15" t="n">
        <f aca="false">Assumptions!$B$9</f>
        <v>150</v>
      </c>
      <c r="G13" s="15" t="n">
        <f aca="false">E13-F13</f>
        <v>64530</v>
      </c>
    </row>
    <row r="14" customFormat="false" ht="15" hidden="false" customHeight="false" outlineLevel="0" collapsed="false">
      <c r="A14" s="13" t="s">
        <v>53</v>
      </c>
      <c r="B14" s="16" t="n">
        <f aca="false">ROUND($B$6*($B$15/$B$6)^((11-3)/9),0)</f>
        <v>1714</v>
      </c>
      <c r="C14" s="15" t="n">
        <f aca="false">B14*Assumptions!$B$11</f>
        <v>83986</v>
      </c>
      <c r="D14" s="15" t="n">
        <f aca="false">B14*Assumptions!$B$8</f>
        <v>8570</v>
      </c>
      <c r="E14" s="15" t="n">
        <f aca="false">C14-D14</f>
        <v>75416</v>
      </c>
      <c r="F14" s="15" t="n">
        <f aca="false">Assumptions!$B$9</f>
        <v>150</v>
      </c>
      <c r="G14" s="15" t="n">
        <f aca="false">E14-F14</f>
        <v>75266</v>
      </c>
    </row>
    <row r="15" customFormat="false" ht="15" hidden="false" customHeight="false" outlineLevel="0" collapsed="false">
      <c r="A15" s="13" t="s">
        <v>54</v>
      </c>
      <c r="B15" s="14" t="n">
        <v>2000</v>
      </c>
      <c r="C15" s="15" t="n">
        <f aca="false">B15*Assumptions!$B$11</f>
        <v>98000</v>
      </c>
      <c r="D15" s="15" t="n">
        <f aca="false">B15*Assumptions!$B$8</f>
        <v>10000</v>
      </c>
      <c r="E15" s="15" t="n">
        <f aca="false">C15-D15</f>
        <v>88000</v>
      </c>
      <c r="F15" s="15" t="n">
        <f aca="false">Assumptions!$B$9</f>
        <v>150</v>
      </c>
      <c r="G15" s="15" t="n">
        <f aca="false">E15-F15</f>
        <v>87850</v>
      </c>
    </row>
    <row r="16" customFormat="false" ht="15" hidden="false" customHeight="false" outlineLevel="0" collapsed="false">
      <c r="A16" s="10" t="s">
        <v>55</v>
      </c>
      <c r="C16" s="17" t="n">
        <f aca="false">SUM(C4:C15)</f>
        <v>556493</v>
      </c>
      <c r="D16" s="17" t="n">
        <f aca="false">SUM(D4:D15)</f>
        <v>56785</v>
      </c>
      <c r="E16" s="17" t="n">
        <f aca="false">SUM(E4:E15)</f>
        <v>499708</v>
      </c>
      <c r="F16" s="17" t="n">
        <f aca="false">SUM(F4:F15)</f>
        <v>1800</v>
      </c>
      <c r="G16" s="17" t="n">
        <f aca="false">SUM(G4:G15)</f>
        <v>497908</v>
      </c>
    </row>
    <row r="18" customFormat="false" ht="15" hidden="false" customHeight="false" outlineLevel="0" collapsed="false">
      <c r="A18" s="6" t="s">
        <v>56</v>
      </c>
    </row>
    <row r="19" customFormat="false" ht="15" hidden="false" customHeight="false" outlineLevel="0" collapsed="false">
      <c r="A19" s="6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2026-10-19T21:41:58Z</dcterms:created>
  <dc:creator>openpyxl</dc:creator>
  <dc:description/>
  <dc:language>en-US</dc:language>
  <cp:lastModifiedBy/>
  <dcterms:modified xsi:type="dcterms:W3CDTF">2026-10-19T23:42:02Z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